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earning\Power Query Project\20261014\"/>
    </mc:Choice>
  </mc:AlternateContent>
  <xr:revisionPtr revIDLastSave="0" documentId="13_ncr:1_{A1B2240C-5973-4CBB-A89F-4BB4FCB8B7F4}" xr6:coauthVersionLast="47" xr6:coauthVersionMax="47" xr10:uidLastSave="{00000000-0000-0000-0000-000000000000}"/>
  <bookViews>
    <workbookView xWindow="-120" yWindow="-120" windowWidth="29040" windowHeight="15720" tabRatio="885" xr2:uid="{9833AE62-57A7-491F-9D05-30826E040F05}"/>
  </bookViews>
  <sheets>
    <sheet name="Data_Folder" sheetId="17" r:id="rId1"/>
    <sheet name="Reconciliation" sheetId="25" r:id="rId2"/>
    <sheet name="Customer Account Summary Report" sheetId="18" r:id="rId3"/>
    <sheet name="Customer Loan Portfolio Report" sheetId="19" r:id="rId4"/>
    <sheet name="Daily Loan Transaction Report" sheetId="20" r:id="rId5"/>
    <sheet name="Delinquent Loan Report" sheetId="24" r:id="rId6"/>
    <sheet name="Loan Disbursement Report" sheetId="21" r:id="rId7"/>
    <sheet name="Loan Repayment Due Report" sheetId="22" r:id="rId8"/>
    <sheet name="Mortgage Portfolio Report" sheetId="23" r:id="rId9"/>
  </sheets>
  <definedNames>
    <definedName name="ExternalData_1" localSheetId="1" hidden="1">Reconciliation!$B$4:$D$5</definedName>
    <definedName name="ExternalData_2" localSheetId="0" hidden="1">Data_Folder!$A$1:$F$8</definedName>
    <definedName name="ExternalData_2" localSheetId="1" hidden="1">Reconciliation!$B$11:$D$12</definedName>
    <definedName name="ExternalData_3" localSheetId="2" hidden="1">'Customer Account Summary Report'!$A$1:$E$4</definedName>
    <definedName name="ExternalData_3" localSheetId="1" hidden="1">Reconciliation!$B$18:$D$19</definedName>
    <definedName name="ExternalData_4" localSheetId="3" hidden="1">'Customer Loan Portfolio Report'!$A$1:$F$6</definedName>
    <definedName name="ExternalData_4" localSheetId="1" hidden="1">Reconciliation!$B$25:$D$26</definedName>
    <definedName name="ExternalData_5" localSheetId="4" hidden="1">'Daily Loan Transaction Report'!$A$1:$E$5</definedName>
    <definedName name="ExternalData_5" localSheetId="1" hidden="1">Reconciliation!$G$4:$I$5</definedName>
    <definedName name="ExternalData_6" localSheetId="6" hidden="1">'Loan Disbursement Report'!$A$1:$F$4</definedName>
    <definedName name="ExternalData_6" localSheetId="1" hidden="1">Reconciliation!$G$11:$I$12</definedName>
    <definedName name="ExternalData_7" localSheetId="5" hidden="1">'Delinquent Loan Report'!$A$1:$F$4</definedName>
    <definedName name="ExternalData_7" localSheetId="7" hidden="1">'Loan Repayment Due Report'!$A$1:$F$5</definedName>
    <definedName name="ExternalData_7" localSheetId="1" hidden="1">Reconciliation!$G$18:$I$19</definedName>
    <definedName name="ExternalData_8" localSheetId="8" hidden="1">'Mortgage Portfolio Report'!$A$1:$F$4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25" l="1"/>
  <c r="B14" i="25" s="1" a="1"/>
  <c r="C13" i="25"/>
  <c r="C14" i="25" s="1" a="1"/>
  <c r="G20" i="25"/>
  <c r="H20" i="25"/>
  <c r="G13" i="25"/>
  <c r="G14" i="25" s="1"/>
  <c r="H13" i="25"/>
  <c r="H14" i="25" s="1"/>
  <c r="G6" i="25"/>
  <c r="H6" i="25"/>
  <c r="B27" i="25"/>
  <c r="B28" i="25" s="1" a="1"/>
  <c r="C27" i="25"/>
  <c r="C28" i="25" s="1" a="1"/>
  <c r="B20" i="25"/>
  <c r="B21" i="25" s="1" a="1"/>
  <c r="C20" i="25"/>
  <c r="C21" i="25" s="1" a="1"/>
  <c r="B6" i="25"/>
  <c r="B7" i="25" s="1" a="1"/>
  <c r="C6" i="25"/>
  <c r="C7" i="25" s="1" a="1"/>
  <c r="G21" i="25" l="1" a="1"/>
  <c r="H21" i="25" a="1"/>
  <c r="H7" i="25" a="1"/>
  <c r="G7" i="25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40FE36-2292-4F63-B414-F21BB25F455F}" keepAlive="1" name="Query - Customer Account Summary Report" description="Connection to the 'Customer Account Summary Report' query in the workbook." type="5" refreshedVersion="8" background="1" saveData="1">
    <dbPr connection="Provider=Microsoft.Mashup.OleDb.1;Data Source=$Workbook$;Location=&quot;Customer Account Summary Report&quot;;Extended Properties=&quot;&quot;" command="SELECT * FROM [Customer Account Summary Report]"/>
  </connection>
  <connection id="2" xr16:uid="{910F3868-2376-47BC-AA15-569EE04AF871}" keepAlive="1" name="Query - Customer Loan Portfolio Report" description="Connection to the 'Customer Loan Portfolio Report' query in the workbook." type="5" refreshedVersion="8" background="1" saveData="1">
    <dbPr connection="Provider=Microsoft.Mashup.OleDb.1;Data Source=$Workbook$;Location=&quot;Customer Loan Portfolio Report&quot;;Extended Properties=&quot;&quot;" command="SELECT * FROM [Customer Loan Portfolio Report]"/>
  </connection>
  <connection id="3" xr16:uid="{88960088-5B98-4F6C-B5AE-A03343F0B1D5}" keepAlive="1" name="Query - Daily Loan Transaction Report" description="Connection to the 'Daily Loan Transaction Report' query in the workbook." type="5" refreshedVersion="8" background="1" saveData="1">
    <dbPr connection="Provider=Microsoft.Mashup.OleDb.1;Data Source=$Workbook$;Location=&quot;Daily Loan Transaction Report&quot;;Extended Properties=&quot;&quot;" command="SELECT * FROM [Daily Loan Transaction Report]"/>
  </connection>
  <connection id="4" xr16:uid="{D062CACA-D505-4D5F-9288-96F9F5BAA5E4}" keepAlive="1" name="Query - Data_Folder" description="Connection to the 'Data_Folder' query in the workbook." type="5" refreshedVersion="8" background="1" saveData="1">
    <dbPr connection="Provider=Microsoft.Mashup.OleDb.1;Data Source=$Workbook$;Location=Data_Folder;Extended Properties=&quot;&quot;" command="SELECT * FROM [Data_Folder]"/>
  </connection>
  <connection id="5" xr16:uid="{67D1C8C7-4BA5-431A-925A-A2543FCFD74A}" keepAlive="1" name="Query - Delinquent Loan Report(1)" description="Connection to the 'Delinquent Loan Report' query in the workbook." type="5" refreshedVersion="0" background="1">
    <dbPr connection="Provider=Microsoft.Mashup.OleDb.1;Data Source=$Workbook$;Location=&quot;Delinquent Loan Report&quot;;Extended Properties=&quot;&quot;" command="SELECT * FROM [Delinquent Loan Report]"/>
  </connection>
  <connection id="6" xr16:uid="{A6968A77-6B6E-4D7F-A919-661F422E7773}" keepAlive="1" name="Query - Delinquent Loan Report1" description="Connection to the 'Delinquent Loan Report' query in the workbook." type="5" refreshedVersion="8" background="1" saveData="1">
    <dbPr connection="Provider=Microsoft.Mashup.OleDb.1;Data Source=$Workbook$;Location=&quot;Delinquent Loan Report&quot;;Extended Properties=&quot;&quot;" command="SELECT * FROM [Delinquent Loan Report]"/>
  </connection>
  <connection id="7" xr16:uid="{0305EEE7-FD73-4E2F-8234-8D4A85E4A26A}" keepAlive="1" name="Query - Loan Disbursement Report" description="Connection to the 'Loan Disbursement Report' query in the workbook." type="5" refreshedVersion="8" background="1" saveData="1">
    <dbPr connection="Provider=Microsoft.Mashup.OleDb.1;Data Source=$Workbook$;Location=&quot;Loan Disbursement Report&quot;;Extended Properties=&quot;&quot;" command="SELECT * FROM [Loan Disbursement Report]"/>
  </connection>
  <connection id="8" xr16:uid="{0FCA03C3-E86B-4CF4-B043-D4C2821955DB}" keepAlive="1" name="Query - Loan Repayment Due Report" description="Connection to the 'Loan Repayment Due Report' query in the workbook." type="5" refreshedVersion="8" background="1" saveData="1">
    <dbPr connection="Provider=Microsoft.Mashup.OleDb.1;Data Source=$Workbook$;Location=&quot;Loan Repayment Due Report&quot;;Extended Properties=&quot;&quot;" command="SELECT * FROM [Loan Repayment Due Report]"/>
  </connection>
  <connection id="9" xr16:uid="{86171A6A-27A0-454D-AA62-04B753BEF387}" keepAlive="1" name="Query - Mortgage Portfolio Report" description="Connection to the 'Mortgage Portfolio Report' query in the workbook." type="5" refreshedVersion="8" background="1" saveData="1">
    <dbPr connection="Provider=Microsoft.Mashup.OleDb.1;Data Source=$Workbook$;Location=&quot;Mortgage Portfolio Report&quot;;Extended Properties=&quot;&quot;" command="SELECT * FROM [Mortgage Portfolio Report]"/>
  </connection>
  <connection id="10" xr16:uid="{DFDFB965-5057-4FE3-B622-D9FE9E222542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3AD90232-B446-4518-987C-DB137D4D9F45}" keepAlive="1" name="Query - Rec: Customer Account Summary Report" description="Connection to the 'Rec: Customer Account Summary Report' query in the workbook." type="5" refreshedVersion="8" background="1" saveData="1">
    <dbPr connection="Provider=Microsoft.Mashup.OleDb.1;Data Source=$Workbook$;Location=&quot;Rec: Customer Account Summary Report&quot;;Extended Properties=&quot;&quot;" command="SELECT * FROM [Rec: Customer Account Summary Report]"/>
  </connection>
  <connection id="12" xr16:uid="{07A07B94-34BE-4993-981E-35D98ED80391}" keepAlive="1" name="Query - Rec: Customer Loan Portfolio Report" description="Connection to the 'Rec: Customer Loan Portfolio Report' query in the workbook." type="5" refreshedVersion="8" background="1" saveData="1">
    <dbPr connection="Provider=Microsoft.Mashup.OleDb.1;Data Source=$Workbook$;Location=&quot;Rec: Customer Loan Portfolio Report&quot;;Extended Properties=&quot;&quot;" command="SELECT * FROM [Rec: Customer Loan Portfolio Report]"/>
  </connection>
  <connection id="13" xr16:uid="{05B926AF-92CF-4303-B9AF-23C72C2A1DDF}" keepAlive="1" name="Query - Rec: Daily Loan Transaction Report" description="Connection to the 'Rec: Daily Loan Transaction Report' query in the workbook." type="5" refreshedVersion="8" background="1" saveData="1">
    <dbPr connection="Provider=Microsoft.Mashup.OleDb.1;Data Source=$Workbook$;Location=&quot;Rec: Daily Loan Transaction Report&quot;;Extended Properties=&quot;&quot;" command="SELECT * FROM [Rec: Daily Loan Transaction Report]"/>
  </connection>
  <connection id="14" xr16:uid="{73EF56A9-CFBC-4237-A207-2FDD9F33C3BD}" keepAlive="1" name="Query - Rec: Delinquent Loan Report" description="Connection to the 'Rec: Delinquent Loan Report' query in the workbook." type="5" refreshedVersion="8" background="1" saveData="1">
    <dbPr connection="Provider=Microsoft.Mashup.OleDb.1;Data Source=$Workbook$;Location=&quot;Rec: Delinquent Loan Report&quot;;Extended Properties=&quot;&quot;" command="SELECT * FROM [Rec: Delinquent Loan Report]"/>
  </connection>
  <connection id="15" xr16:uid="{748CFC4F-68F4-49E2-ABE8-11A4259CB3F7}" keepAlive="1" name="Query - Rec: Loan Disbursement Report" description="Connection to the 'Rec: Loan Disbursement Report' query in the workbook." type="5" refreshedVersion="8" background="1" saveData="1">
    <dbPr connection="Provider=Microsoft.Mashup.OleDb.1;Data Source=$Workbook$;Location=&quot;Rec: Loan Disbursement Report&quot;;Extended Properties=&quot;&quot;" command="SELECT * FROM [Rec: Loan Disbursement Report]"/>
  </connection>
  <connection id="16" xr16:uid="{495519C7-1268-4084-B9CD-4CED807BCC0F}" keepAlive="1" name="Query - Rec: Loan Repayment Due Report" description="Connection to the 'Rec: Loan Repayment Due Report' query in the workbook." type="5" refreshedVersion="8" background="1" saveData="1">
    <dbPr connection="Provider=Microsoft.Mashup.OleDb.1;Data Source=$Workbook$;Location=&quot;Rec: Loan Repayment Due Report&quot;;Extended Properties=&quot;&quot;" command="SELECT * FROM [Rec: Loan Repayment Due Report]"/>
  </connection>
  <connection id="17" xr16:uid="{B5C2C479-05BE-49E5-AD00-BE23005CA046}" keepAlive="1" name="Query - Rec: Mortgage Portfolio Report" description="Connection to the 'Rec: Mortgage Portfolio Report' query in the workbook." type="5" refreshedVersion="8" background="1" saveData="1">
    <dbPr connection="Provider=Microsoft.Mashup.OleDb.1;Data Source=$Workbook$;Location=&quot;Rec: Mortgage Portfolio Report&quot;;Extended Properties=&quot;&quot;" command="SELECT * FROM [Rec: Mortgage Portfolio Repor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<sst xmlns="http://schemas.openxmlformats.org/spreadsheetml/2006/main" count="202" uniqueCount="117">
  <si>
    <t>Account_No</t>
  </si>
  <si>
    <t>Account_Type</t>
  </si>
  <si>
    <t>Currency</t>
  </si>
  <si>
    <t>Balance</t>
  </si>
  <si>
    <t>Status</t>
  </si>
  <si>
    <t>001-123456789</t>
  </si>
  <si>
    <t>Savings</t>
  </si>
  <si>
    <t>USD</t>
  </si>
  <si>
    <t>Active</t>
  </si>
  <si>
    <t>001-456789123</t>
  </si>
  <si>
    <t>Current</t>
  </si>
  <si>
    <t>001-888222111</t>
  </si>
  <si>
    <t>Mortgage</t>
  </si>
  <si>
    <t>Name</t>
  </si>
  <si>
    <t>Extension</t>
  </si>
  <si>
    <t>Date accessed</t>
  </si>
  <si>
    <t>Date modified</t>
  </si>
  <si>
    <t>Date created</t>
  </si>
  <si>
    <t>Folder Path</t>
  </si>
  <si>
    <t>Customer Account Summary Report.txt</t>
  </si>
  <si>
    <t>.txt</t>
  </si>
  <si>
    <t>Customer Loan Portfolio Report.txt</t>
  </si>
  <si>
    <t>Daily Loan Transaction Report.txt</t>
  </si>
  <si>
    <t>Delinquent Loan Report.txt</t>
  </si>
  <si>
    <t>Loan Disbursement Report.txt</t>
  </si>
  <si>
    <t>Loan Repayment Due Report.txt</t>
  </si>
  <si>
    <t>Mortgage Portfolio Report.txt</t>
  </si>
  <si>
    <t>Loan_No</t>
  </si>
  <si>
    <t>Customer_Name</t>
  </si>
  <si>
    <t>Product</t>
  </si>
  <si>
    <t>Approved_Amount</t>
  </si>
  <si>
    <t>Disbursed_Amount</t>
  </si>
  <si>
    <t>Officer</t>
  </si>
  <si>
    <t>LN200101</t>
  </si>
  <si>
    <t>Olivia Martin</t>
  </si>
  <si>
    <t>Home Loan</t>
  </si>
  <si>
    <t>James Lim</t>
  </si>
  <si>
    <t>LN200102</t>
  </si>
  <si>
    <t>Daniel Chen</t>
  </si>
  <si>
    <t>Car Loan</t>
  </si>
  <si>
    <t>Rachel Ng</t>
  </si>
  <si>
    <t>LN200103</t>
  </si>
  <si>
    <t>Kevin Brown</t>
  </si>
  <si>
    <t>Personal Loan</t>
  </si>
  <si>
    <t>Due_Date</t>
  </si>
  <si>
    <t>Installment</t>
  </si>
  <si>
    <t>Days_Due</t>
  </si>
  <si>
    <t>LN100001</t>
  </si>
  <si>
    <t>John Smith</t>
  </si>
  <si>
    <t>Upcoming</t>
  </si>
  <si>
    <t>LN100004</t>
  </si>
  <si>
    <t>Sarah Jones</t>
  </si>
  <si>
    <t>Overdue</t>
  </si>
  <si>
    <t>LN100006</t>
  </si>
  <si>
    <t>Peter Chan</t>
  </si>
  <si>
    <t>Due Today</t>
  </si>
  <si>
    <t>LN100008</t>
  </si>
  <si>
    <t>Emma Wilson</t>
  </si>
  <si>
    <t>Loan_Type</t>
  </si>
  <si>
    <t>Days_Past_Due</t>
  </si>
  <si>
    <t>Risk_Grade</t>
  </si>
  <si>
    <t>High</t>
  </si>
  <si>
    <t>LN100025</t>
  </si>
  <si>
    <t>Brian Kelly</t>
  </si>
  <si>
    <t>Critical</t>
  </si>
  <si>
    <t>LN100118</t>
  </si>
  <si>
    <t>Mary Tan</t>
  </si>
  <si>
    <t>Medium</t>
  </si>
  <si>
    <t>Interest</t>
  </si>
  <si>
    <t>LN100002</t>
  </si>
  <si>
    <t>Alice Wong</t>
  </si>
  <si>
    <t>LN100003</t>
  </si>
  <si>
    <t>David Lee</t>
  </si>
  <si>
    <t>Delinquent</t>
  </si>
  <si>
    <t>LN100005</t>
  </si>
  <si>
    <t>Michael Brown</t>
  </si>
  <si>
    <t>SME Loan</t>
  </si>
  <si>
    <t>Transaction_ID</t>
  </si>
  <si>
    <t>Transaction</t>
  </si>
  <si>
    <t>Amount</t>
  </si>
  <si>
    <t>TXN500001</t>
  </si>
  <si>
    <t>Monthly Repayment</t>
  </si>
  <si>
    <t>TXN500002</t>
  </si>
  <si>
    <t>Principal Reduction</t>
  </si>
  <si>
    <t>TXN500003</t>
  </si>
  <si>
    <t>Interest Payment</t>
  </si>
  <si>
    <t>TXN500004</t>
  </si>
  <si>
    <t>Late Payment Fee</t>
  </si>
  <si>
    <t>Mortgage_No</t>
  </si>
  <si>
    <t>Borrower</t>
  </si>
  <si>
    <t>Property_Value</t>
  </si>
  <si>
    <t>Loan_Balance</t>
  </si>
  <si>
    <t>LTV</t>
  </si>
  <si>
    <t>MTG00101</t>
  </si>
  <si>
    <t>MTG00102</t>
  </si>
  <si>
    <t>MTG00103</t>
  </si>
  <si>
    <t>Emily White</t>
  </si>
  <si>
    <t xml:space="preserve">Total Deposit Balance </t>
  </si>
  <si>
    <t xml:space="preserve">Total Loan Balance    </t>
  </si>
  <si>
    <t xml:space="preserve">Generated Date </t>
  </si>
  <si>
    <t>Reconciliation</t>
  </si>
  <si>
    <t>Import Output</t>
  </si>
  <si>
    <t xml:space="preserve">Total Loans       </t>
  </si>
  <si>
    <t xml:space="preserve">Outstanding Total </t>
  </si>
  <si>
    <t xml:space="preserve">Generated Date    </t>
  </si>
  <si>
    <t xml:space="preserve">Transactions </t>
  </si>
  <si>
    <t xml:space="preserve">Total Amount </t>
  </si>
  <si>
    <t xml:space="preserve">Total Delinquent Loans </t>
  </si>
  <si>
    <t xml:space="preserve">Outstanding Balance    </t>
  </si>
  <si>
    <t xml:space="preserve">Loans Disbursed </t>
  </si>
  <si>
    <t xml:space="preserve">Total Amount    </t>
  </si>
  <si>
    <t xml:space="preserve">Generated Date  </t>
  </si>
  <si>
    <t xml:space="preserve">Loans Due Today </t>
  </si>
  <si>
    <t xml:space="preserve">Overdue Loans   </t>
  </si>
  <si>
    <t xml:space="preserve">Mortgages </t>
  </si>
  <si>
    <t xml:space="preserve">Portfolio Value </t>
  </si>
  <si>
    <t>D:\Data_13102026\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</si>
</sst>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22" fontId="0" fillId="0" borderId="0" xfId="0" applyNumberFormat="1"/>
    <xf numFmtId="14" fontId="0" fillId="0" borderId="0" xfId="0" applyNumberFormat="1"/>
    <xf numFmtId="10" fontId="0" fillId="0" borderId="0" xfId="0" applyNumberFormat="1"/>
    <xf numFmtId="10" fontId="0" fillId="0" borderId="0" xfId="1" applyNumberFormat="1" applyFont="1"/>
    <xf numFmtId="0" fontId="2" fillId="0" borderId="0" xfId="0" applyFont="1"/>
  </cellXfs>
  <cellStyles count="2">
    <cellStyle name="Normal" xfId="0" builtinId="0"/>
    <cellStyle name="Percent" xfId="1" builtinId="5"/>
  </cellStyles>
  <dxfs count="52">
    <dxf>
      <numFmt numFmtId="19" formatCode="dd/mm/yyyy"/>
    </dxf>
    <dxf>
      <numFmt numFmtId="14" formatCode="0.00%"/>
    </dxf>
    <dxf>
      <numFmt numFmtId="19" formatCode="dd/mm/yyyy"/>
    </dxf>
    <dxf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27" formatCode="dd/mm/yyyy\ hh:mm"/>
    </dxf>
    <dxf>
      <numFmt numFmtId="27" formatCode="dd/mm/yyyy\ hh:mm"/>
    </dxf>
    <dxf>
      <numFmt numFmtId="27" formatCode="dd/mm/yyyy\ hh:mm"/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5D997308-63D8-4DC1-AD06-B0AA08338863}" autoFormatId="16" applyNumberFormats="0" applyBorderFormats="0" applyFontFormats="0" applyPatternFormats="0" applyAlignmentFormats="0" applyWidthHeightFormats="0">
  <queryTableRefresh nextId="7">
    <queryTableFields count="6">
      <queryTableField id="1" name="Name" tableColumnId="1"/>
      <queryTableField id="2" name="Extension" tableColumnId="2"/>
      <queryTableField id="3" name="Date accessed" tableColumnId="3"/>
      <queryTableField id="4" name="Date modified" tableColumnId="4"/>
      <queryTableField id="5" name="Date created" tableColumnId="5"/>
      <queryTableField id="6" name="Folder Path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EDA59C29-0AB9-4EBD-AB03-167DACF53381}" autoFormatId="16" applyNumberFormats="0" applyBorderFormats="0" applyFontFormats="0" applyPatternFormats="0" applyAlignmentFormats="0" applyWidthHeightFormats="0">
  <queryTableRefresh nextId="4">
    <queryTableFields count="3">
      <queryTableField id="1" name="Total Deposit Balance " tableColumnId="1"/>
      <queryTableField id="2" name="Total Loan Balance    " tableColumnId="2"/>
      <queryTableField id="3" name="Generated Date 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6F538821-DD41-44EA-81D3-B3CCFA1B8B31}" autoFormatId="16" applyNumberFormats="0" applyBorderFormats="0" applyFontFormats="0" applyPatternFormats="0" applyAlignmentFormats="0" applyWidthHeightFormats="0">
  <queryTableRefresh nextId="4">
    <queryTableFields count="3">
      <queryTableField id="1" name="Total Loans       " tableColumnId="1"/>
      <queryTableField id="2" name="Outstanding Total " tableColumnId="2"/>
      <queryTableField id="3" name="Generated Date    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23ACCFC0-BD77-47B7-801A-E44077A83F44}" autoFormatId="16" applyNumberFormats="0" applyBorderFormats="0" applyFontFormats="0" applyPatternFormats="0" applyAlignmentFormats="0" applyWidthHeightFormats="0">
  <queryTableRefresh nextId="4">
    <queryTableFields count="3">
      <queryTableField id="1" name="Transactions " tableColumnId="1"/>
      <queryTableField id="2" name="Total Amount " tableColumnId="2"/>
      <queryTableField id="3" name="Generated Date 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4" xr16:uid="{36EEDABD-4663-4F6B-A856-A58D8EA64A31}" autoFormatId="16" applyNumberFormats="0" applyBorderFormats="0" applyFontFormats="0" applyPatternFormats="0" applyAlignmentFormats="0" applyWidthHeightFormats="0">
  <queryTableRefresh nextId="4">
    <queryTableFields count="3">
      <queryTableField id="1" name="Total Delinquent Loans " tableColumnId="1"/>
      <queryTableField id="2" name="Outstanding Balance    " tableColumnId="2"/>
      <queryTableField id="3" name="Generated Date 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5" xr16:uid="{7D311BEF-C42C-46A7-9D5B-7B62ECAA15F5}" autoFormatId="16" applyNumberFormats="0" applyBorderFormats="0" applyFontFormats="0" applyPatternFormats="0" applyAlignmentFormats="0" applyWidthHeightFormats="0">
  <queryTableRefresh nextId="4">
    <queryTableFields count="3">
      <queryTableField id="1" name="Loans Disbursed " tableColumnId="1"/>
      <queryTableField id="2" name="Total Amount    " tableColumnId="2"/>
      <queryTableField id="3" name="Generated Date  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6" xr16:uid="{5E260B04-CFA9-4957-87B0-091EA4AE9D1A}" autoFormatId="16" applyNumberFormats="0" applyBorderFormats="0" applyFontFormats="0" applyPatternFormats="0" applyAlignmentFormats="0" applyWidthHeightFormats="0">
  <queryTableRefresh nextId="4">
    <queryTableFields count="3">
      <queryTableField id="1" name="Loans Due Today " tableColumnId="1"/>
      <queryTableField id="2" name="Overdue Loans   " tableColumnId="2"/>
      <queryTableField id="3" name="Generated Date  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533324ED-4FBA-40B8-BBED-E175F3D24410}" autoFormatId="16" applyNumberFormats="0" applyBorderFormats="0" applyFontFormats="0" applyPatternFormats="0" applyAlignmentFormats="0" applyWidthHeightFormats="0">
  <queryTableRefresh nextId="4">
    <queryTableFields count="3">
      <queryTableField id="1" name="Mortgages " tableColumnId="1"/>
      <queryTableField id="2" name="Portfolio Value " tableColumnId="2"/>
      <queryTableField id="3" name="Generated Date 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EC464E9-D0F7-4676-8DA1-1FAB32F391D1}" autoFormatId="16" applyNumberFormats="0" applyBorderFormats="0" applyFontFormats="0" applyPatternFormats="0" applyAlignmentFormats="0" applyWidthHeightFormats="0">
  <queryTableRefresh nextId="6">
    <queryTableFields count="5">
      <queryTableField id="1" name="Account_No" tableColumnId="1"/>
      <queryTableField id="2" name="Account_Type" tableColumnId="2"/>
      <queryTableField id="3" name="Currency" tableColumnId="3"/>
      <queryTableField id="4" name="Balance" tableColumnId="4"/>
      <queryTableField id="5" name="Status" tableColumnId="5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14C0EA24-30BB-43A7-8122-2ED05C06C339}" autoFormatId="16" applyNumberFormats="0" applyBorderFormats="0" applyFontFormats="0" applyPatternFormats="0" applyAlignmentFormats="0" applyWidthHeightFormats="0">
  <queryTableRefresh nextId="7">
    <queryTableFields count="6">
      <queryTableField id="1" name="Loan_No" tableColumnId="1"/>
      <queryTableField id="2" name="Customer_Name" tableColumnId="2"/>
      <queryTableField id="3" name="Loan_Type" tableColumnId="3"/>
      <queryTableField id="4" name="Balance" tableColumnId="4"/>
      <queryTableField id="5" name="Interest" tableColumnId="5"/>
      <queryTableField id="6" name="Status" tableColumnId="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3" xr16:uid="{BA6045C8-0B4F-49FF-8619-1025E065B92B}" autoFormatId="16" applyNumberFormats="0" applyBorderFormats="0" applyFontFormats="0" applyPatternFormats="0" applyAlignmentFormats="0" applyWidthHeightFormats="0">
  <queryTableRefresh nextId="6">
    <queryTableFields count="5">
      <queryTableField id="1" name="Transaction_ID" tableColumnId="1"/>
      <queryTableField id="2" name="Loan_No" tableColumnId="2"/>
      <queryTableField id="3" name="Customer_Name" tableColumnId="3"/>
      <queryTableField id="4" name="Transaction" tableColumnId="4"/>
      <queryTableField id="5" name="Amount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1DF09A78-05A9-49FB-BB51-1D0D93F504B9}" autoFormatId="16" applyNumberFormats="0" applyBorderFormats="0" applyFontFormats="0" applyPatternFormats="0" applyAlignmentFormats="0" applyWidthHeightFormats="0">
  <queryTableRefresh nextId="7">
    <queryTableFields count="6">
      <queryTableField id="1" name="Loan_No" tableColumnId="1"/>
      <queryTableField id="2" name="Customer_Name" tableColumnId="2"/>
      <queryTableField id="3" name="Loan_Type" tableColumnId="3"/>
      <queryTableField id="4" name="Balance" tableColumnId="4"/>
      <queryTableField id="5" name="Days_Past_Due" tableColumnId="5"/>
      <queryTableField id="6" name="Risk_Grade" tableColumnId="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" xr16:uid="{F6D16AAE-4501-4D0E-A877-4B13C560714E}" autoFormatId="16" applyNumberFormats="0" applyBorderFormats="0" applyFontFormats="0" applyPatternFormats="0" applyAlignmentFormats="0" applyWidthHeightFormats="0">
  <queryTableRefresh nextId="7">
    <queryTableFields count="6">
      <queryTableField id="1" name="Loan_No" tableColumnId="1"/>
      <queryTableField id="2" name="Customer_Name" tableColumnId="2"/>
      <queryTableField id="3" name="Product" tableColumnId="3"/>
      <queryTableField id="4" name="Approved_Amount" tableColumnId="4"/>
      <queryTableField id="5" name="Disbursed_Amount" tableColumnId="5"/>
      <queryTableField id="6" name="Officer" tableColumnId="6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4152A64B-BC7E-45CB-9C3F-25D6D917F4A5}" autoFormatId="16" applyNumberFormats="0" applyBorderFormats="0" applyFontFormats="0" applyPatternFormats="0" applyAlignmentFormats="0" applyWidthHeightFormats="0">
  <queryTableRefresh nextId="7">
    <queryTableFields count="6">
      <queryTableField id="1" name="Loan_No" tableColumnId="1"/>
      <queryTableField id="2" name="Customer_Name" tableColumnId="2"/>
      <queryTableField id="3" name="Due_Date" tableColumnId="3"/>
      <queryTableField id="4" name="Installment" tableColumnId="4"/>
      <queryTableField id="5" name="Days_Due" tableColumnId="5"/>
      <queryTableField id="6" name="Status" tableColumnId="6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04EE66C3-4C86-405B-B17A-8373124D3817}" autoFormatId="16" applyNumberFormats="0" applyBorderFormats="0" applyFontFormats="0" applyPatternFormats="0" applyAlignmentFormats="0" applyWidthHeightFormats="0">
  <queryTableRefresh nextId="7">
    <queryTableFields count="6">
      <queryTableField id="1" name="Mortgage_No" tableColumnId="1"/>
      <queryTableField id="2" name="Borrower" tableColumnId="2"/>
      <queryTableField id="3" name="Property_Value" tableColumnId="3"/>
      <queryTableField id="4" name="Loan_Balance" tableColumnId="4"/>
      <queryTableField id="5" name="LTV" tableColumnId="5"/>
      <queryTableField id="6" name="Status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380D74B-1A9B-4EA0-A7E8-F54AEDB09BCF}" name="Data_Folder" displayName="Data_Folder" ref="A1:F8" tableType="queryTable" totalsRowShown="0">
  <autoFilter ref="A1:F8" xr:uid="{F380D74B-1A9B-4EA0-A7E8-F54AEDB09BCF}"/>
  <tableColumns count="6">
    <tableColumn id="1" xr3:uid="{0BF78F6F-5A9B-4633-97AD-1DB6A9F7142D}" uniqueName="1" name="Name" queryTableFieldId="1" dataDxfId="43"/>
    <tableColumn id="2" xr3:uid="{17355228-8A98-47E2-B4B5-4F8E5E60A36A}" uniqueName="2" name="Extension" queryTableFieldId="2" dataDxfId="42"/>
    <tableColumn id="3" xr3:uid="{D9C7D174-9170-4435-8101-C3478A6A5B10}" uniqueName="3" name="Date accessed" queryTableFieldId="3" dataDxfId="12"/>
    <tableColumn id="4" xr3:uid="{A6A9FF9B-4756-4CC9-8A1B-6462733AB2BB}" uniqueName="4" name="Date modified" queryTableFieldId="4" dataDxfId="11"/>
    <tableColumn id="5" xr3:uid="{8AC16310-0456-4AB1-B519-DA67221B66EF}" uniqueName="5" name="Date created" queryTableFieldId="5" dataDxfId="10"/>
    <tableColumn id="6" xr3:uid="{C549574E-BFA0-45AB-97E7-97A8BA567FE7}" uniqueName="6" name="Folder Path" queryTableFieldId="6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BFAF9B-9AAE-4629-A850-C6DAE70151B4}" name="Rec__Customer_Account_Summary_Report" displayName="Rec__Customer_Account_Summary_Report" ref="B4:D6" tableType="queryTable" totalsRowCount="1">
  <autoFilter ref="B4:D5" xr:uid="{D4BFAF9B-9AAE-4629-A850-C6DAE70151B4}"/>
  <tableColumns count="3">
    <tableColumn id="1" xr3:uid="{9D107E10-936B-479A-91A8-82E6194223E4}" uniqueName="1" name="Total Deposit Balance " totalsRowFunction="custom" queryTableFieldId="1">
      <totalsRowFormula>SUMIF(Customer_Account_Summary_Report[Balance], "&gt;=0")</totalsRowFormula>
    </tableColumn>
    <tableColumn id="2" xr3:uid="{CC5CFF37-223F-4140-A7BA-ECB0DD6403F1}" uniqueName="2" name="Total Loan Balance    " totalsRowFunction="custom" queryTableFieldId="2">
      <totalsRowFormula>-1 * SUMIF(Customer_Account_Summary_Report[Balance],"&lt;0")</totalsRowFormula>
    </tableColumn>
    <tableColumn id="3" xr3:uid="{4E4C8223-D857-4EB6-9D19-8A6561385705}" uniqueName="3" name="Generated Date " queryTableFieldId="3" dataDxfId="9" totalsRow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6F52E9-5B06-48B8-88FF-600605839449}" name="Rec__Customer_Loan_Portfolio_Report" displayName="Rec__Customer_Loan_Portfolio_Report" ref="B11:D13" tableType="queryTable" totalsRowCount="1">
  <autoFilter ref="B11:D12" xr:uid="{5D6F52E9-5B06-48B8-88FF-600605839449}"/>
  <tableColumns count="3">
    <tableColumn id="1" xr3:uid="{A351A92C-D811-4561-B102-E32BCAF7D3CC}" uniqueName="1" name="Total Loans       " totalsRowFunction="custom" queryTableFieldId="1" dataDxfId="50">
      <totalsRowFormula>COUNTA(Customer_Loan_Portfolio_Report[Loan_No])</totalsRowFormula>
    </tableColumn>
    <tableColumn id="2" xr3:uid="{9434A1B1-B905-4C68-A58D-D3A45E16F28F}" uniqueName="2" name="Outstanding Total " totalsRowFunction="custom" queryTableFieldId="2" dataDxfId="49">
      <totalsRowFormula>SUM(Customer_Loan_Portfolio_Report[Balance])</totalsRowFormula>
    </tableColumn>
    <tableColumn id="3" xr3:uid="{82C249B2-0011-42FF-8735-A466FDBBAEFD}" uniqueName="3" name="Generated Date    " queryTableFieldId="3" dataDxfId="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430B33-261F-4F9E-84BB-45ECBBA72425}" name="Rec__Daily_Loan_Transaction_Report" displayName="Rec__Daily_Loan_Transaction_Report" ref="B18:D20" tableType="queryTable" totalsRowCount="1">
  <autoFilter ref="B18:D19" xr:uid="{08430B33-261F-4F9E-84BB-45ECBBA72425}"/>
  <tableColumns count="3">
    <tableColumn id="1" xr3:uid="{73E1D40B-C234-40AF-8E6C-1311C624FFFB}" uniqueName="1" name="Transactions " totalsRowFunction="custom" queryTableFieldId="1">
      <totalsRowFormula>COUNTA(Daily_Loan_Transaction_Report[Transaction_ID])</totalsRowFormula>
    </tableColumn>
    <tableColumn id="2" xr3:uid="{3E8DB856-51F4-4712-9CB7-7E505D3037D7}" uniqueName="2" name="Total Amount " totalsRowFunction="custom" queryTableFieldId="2">
      <totalsRowFormula>SUM(Daily_Loan_Transaction_Report[Amount])</totalsRowFormula>
    </tableColumn>
    <tableColumn id="3" xr3:uid="{CF4AE06F-B237-468E-827E-EA77AD6D3F80}" uniqueName="3" name="Generated Date " queryTableFieldId="3" dataDxfId="8" totalsRow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B70263B-8869-46B1-8489-AB8A2F9C6AFB}" name="Rec__Delinquent_Loan_Report" displayName="Rec__Delinquent_Loan_Report" ref="B25:D27" tableType="queryTable" totalsRowCount="1">
  <autoFilter ref="B25:D26" xr:uid="{0B70263B-8869-46B1-8489-AB8A2F9C6AFB}"/>
  <tableColumns count="3">
    <tableColumn id="1" xr3:uid="{63BDCE38-158A-4B5E-8E37-AC9D1F2F5C53}" uniqueName="1" name="Total Delinquent Loans " totalsRowFunction="custom" queryTableFieldId="1">
      <totalsRowFormula>COUNTA(Delinquent_Loan_Report[Loan_No])</totalsRowFormula>
    </tableColumn>
    <tableColumn id="2" xr3:uid="{572ADC3B-0DBF-435E-A099-1056F49F7C03}" uniqueName="2" name="Outstanding Balance    " totalsRowFunction="custom" queryTableFieldId="2">
      <totalsRowFormula>SUM(Delinquent_Loan_Report[Balance])</totalsRowFormula>
    </tableColumn>
    <tableColumn id="3" xr3:uid="{1E727715-878A-4973-9C5F-B03FCE5AB77D}" uniqueName="3" name="Generated Date " queryTableFieldId="3" dataDxfId="7" totalsRowDxfId="4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19EF28-EA95-4230-813E-92D8D683A8A7}" name="Rec__Loan_Disbursement_Report" displayName="Rec__Loan_Disbursement_Report" ref="G4:I6" tableType="queryTable" totalsRowCount="1">
  <autoFilter ref="G4:I5" xr:uid="{3B19EF28-EA95-4230-813E-92D8D683A8A7}"/>
  <tableColumns count="3">
    <tableColumn id="1" xr3:uid="{77E7DA67-D04E-408E-8867-6A5FAEA0FB5E}" uniqueName="1" name="Loans Disbursed " totalsRowFunction="custom" queryTableFieldId="1">
      <totalsRowFormula>COUNTA(Loan_Disbursement_Report[Loan_No])</totalsRowFormula>
    </tableColumn>
    <tableColumn id="2" xr3:uid="{00C77B91-D38F-4E4F-B759-D4E41338B5CF}" uniqueName="2" name="Total Amount    " totalsRowFunction="custom" queryTableFieldId="2">
      <totalsRowFormula>SUM(Loan_Disbursement_Report[Disbursed_Amount])</totalsRowFormula>
    </tableColumn>
    <tableColumn id="3" xr3:uid="{2DCD94F7-4EDA-4B1E-B22E-DE21F50338E9}" uniqueName="3" name="Generated Date  " queryTableFieldId="3" dataDxfId="6" totalsRowDxfId="4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D88136F-7893-4E5C-AAD1-4AC21306C90C}" name="Rec__Loan_Repayment_Due_Report" displayName="Rec__Loan_Repayment_Due_Report" ref="G11:I13" tableType="queryTable" totalsRowCount="1">
  <autoFilter ref="G11:I12" xr:uid="{6D88136F-7893-4E5C-AAD1-4AC21306C90C}"/>
  <tableColumns count="3">
    <tableColumn id="1" xr3:uid="{201C0383-8E4C-4353-A97C-BCA200607B3D}" uniqueName="1" name="Loans Due Today " totalsRowFunction="custom" queryTableFieldId="1">
      <totalsRowFormula>COUNTIF(Loan_Repayment_Due_Report[Status], "Due Today")</totalsRowFormula>
    </tableColumn>
    <tableColumn id="2" xr3:uid="{10E147BA-8185-4143-BC33-47BE5C442EE4}" uniqueName="2" name="Overdue Loans   " totalsRowFunction="custom" queryTableFieldId="2">
      <totalsRowFormula>COUNTIF(Loan_Repayment_Due_Report[Status],"Overdue")</totalsRowFormula>
    </tableColumn>
    <tableColumn id="3" xr3:uid="{44723F14-43B1-4BE8-BF56-30A49E1A304A}" uniqueName="3" name="Generated Date  " queryTableFieldId="3" dataDxfId="5" totalsRow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612AB55-A6BE-4D29-B313-6CA633478A01}" name="Rec__Mortgage_Portfolio_Report" displayName="Rec__Mortgage_Portfolio_Report" ref="G18:I20" tableType="queryTable" totalsRowCount="1">
  <autoFilter ref="G18:I19" xr:uid="{C612AB55-A6BE-4D29-B313-6CA633478A01}"/>
  <tableColumns count="3">
    <tableColumn id="1" xr3:uid="{6E59D088-B000-45F0-BE9D-8C2042BA9A13}" uniqueName="1" name="Mortgages " totalsRowFunction="custom" queryTableFieldId="1">
      <totalsRowFormula>COUNTA(Mortgage_Portfolio_Report[Mortgage_No])</totalsRowFormula>
    </tableColumn>
    <tableColumn id="2" xr3:uid="{456CC87C-BAA1-4AA0-A67E-F4CA3626C977}" uniqueName="2" name="Portfolio Value " totalsRowFunction="custom" queryTableFieldId="2">
      <totalsRowFormula>SUM(Mortgage_Portfolio_Report[Loan_Balance])</totalsRowFormula>
    </tableColumn>
    <tableColumn id="3" xr3:uid="{FE0B7A77-981A-4A04-92C9-871EAE15DB27}" uniqueName="3" name="Generated Date " queryTableFieldId="3" dataDxfId="4" totalsRowDxfId="4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B6ECA2F-5A02-42B9-B21B-77412E354D50}" name="Customer_Account_Summary_Report" displayName="Customer_Account_Summary_Report" ref="A1:E4" tableType="queryTable" totalsRowShown="0">
  <autoFilter ref="A1:E4" xr:uid="{1B6ECA2F-5A02-42B9-B21B-77412E354D50}"/>
  <tableColumns count="5">
    <tableColumn id="1" xr3:uid="{3A72B72F-9BD4-4EEF-BA42-2B8AF21FA452}" uniqueName="1" name="Account_No" queryTableFieldId="1" dataDxfId="40"/>
    <tableColumn id="2" xr3:uid="{8B21EB52-3420-4A69-AD72-7B8A4280E998}" uniqueName="2" name="Account_Type" queryTableFieldId="2" dataDxfId="39"/>
    <tableColumn id="3" xr3:uid="{3D2A0CBE-08DC-46ED-9E44-5814F009F5BC}" uniqueName="3" name="Currency" queryTableFieldId="3" dataDxfId="38"/>
    <tableColumn id="4" xr3:uid="{6DD716BE-527A-40BD-9D8A-D6F584759C47}" uniqueName="4" name="Balance" queryTableFieldId="4"/>
    <tableColumn id="5" xr3:uid="{EB004891-D814-4395-B284-6D2B403CDC1D}" uniqueName="5" name="Status" queryTableFieldId="5" dataDxfId="3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4BEE58A-E4C4-4AC7-B07B-C682C0F69624}" name="Customer_Loan_Portfolio_Report" displayName="Customer_Loan_Portfolio_Report" ref="A1:F6" tableType="queryTable" totalsRowShown="0">
  <autoFilter ref="A1:F6" xr:uid="{C4BEE58A-E4C4-4AC7-B07B-C682C0F69624}"/>
  <tableColumns count="6">
    <tableColumn id="1" xr3:uid="{6EC07E00-0385-4FED-AAEC-106059ED42EB}" uniqueName="1" name="Loan_No" queryTableFieldId="1" dataDxfId="36"/>
    <tableColumn id="2" xr3:uid="{B650AE98-48A4-4B24-98E1-3C188B6ACC2C}" uniqueName="2" name="Customer_Name" queryTableFieldId="2" dataDxfId="35"/>
    <tableColumn id="3" xr3:uid="{79975E44-ED0A-46BD-B93A-5E9BC3D15371}" uniqueName="3" name="Loan_Type" queryTableFieldId="3" dataDxfId="34"/>
    <tableColumn id="4" xr3:uid="{92E84F70-DC71-4BFB-82D3-FBEFC7E10E1D}" uniqueName="4" name="Balance" queryTableFieldId="4"/>
    <tableColumn id="5" xr3:uid="{CA966E20-8A4F-4AF2-8D76-C46BDEABACBF}" uniqueName="5" name="Interest" queryTableFieldId="5" dataDxfId="3" dataCellStyle="Percent"/>
    <tableColumn id="6" xr3:uid="{E6D816F0-DF08-4F5F-A4CF-7667A119905C}" uniqueName="6" name="Status" queryTableFieldId="6" dataDxfId="3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A2FA9B8-0801-42F9-AEF3-0CAF16751E23}" name="Daily_Loan_Transaction_Report" displayName="Daily_Loan_Transaction_Report" ref="A1:E5" tableType="queryTable" totalsRowShown="0">
  <autoFilter ref="A1:E5" xr:uid="{2A2FA9B8-0801-42F9-AEF3-0CAF16751E23}"/>
  <tableColumns count="5">
    <tableColumn id="1" xr3:uid="{A84BB9A5-4282-4FBA-BC7D-97B0384B4416}" uniqueName="1" name="Transaction_ID" queryTableFieldId="1" dataDxfId="32"/>
    <tableColumn id="2" xr3:uid="{724B2FC6-9724-44B0-AB06-6C9BF3C2E9A8}" uniqueName="2" name="Loan_No" queryTableFieldId="2" dataDxfId="31"/>
    <tableColumn id="3" xr3:uid="{D081A669-CCC9-48A1-913B-884180F3AF6B}" uniqueName="3" name="Customer_Name" queryTableFieldId="3" dataDxfId="30"/>
    <tableColumn id="4" xr3:uid="{FFAAD5DF-03EF-44EB-A60D-CD1C38E019FD}" uniqueName="4" name="Transaction" queryTableFieldId="4" dataDxfId="29"/>
    <tableColumn id="5" xr3:uid="{3F292EF8-3898-497D-A320-9B8FD83B7EFA}" uniqueName="5" name="Amount" queryTableFieldId="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E6FDE0B-AE2F-4E59-8F27-A48D28F8617E}" name="Delinquent_Loan_Report" displayName="Delinquent_Loan_Report" ref="A1:F4" tableType="queryTable" totalsRowShown="0">
  <autoFilter ref="A1:F4" xr:uid="{9E6FDE0B-AE2F-4E59-8F27-A48D28F8617E}"/>
  <tableColumns count="6">
    <tableColumn id="1" xr3:uid="{BD165E90-11F7-40CE-A141-9866C752AD9D}" uniqueName="1" name="Loan_No" queryTableFieldId="1" dataDxfId="28"/>
    <tableColumn id="2" xr3:uid="{743F06C9-E970-4F54-AC90-33F72991BBD8}" uniqueName="2" name="Customer_Name" queryTableFieldId="2" dataDxfId="27"/>
    <tableColumn id="3" xr3:uid="{75AEA9DF-1931-44DB-BF4C-11A01166EC56}" uniqueName="3" name="Loan_Type" queryTableFieldId="3" dataDxfId="26"/>
    <tableColumn id="4" xr3:uid="{3B981F15-8387-4374-A053-51BED03AB607}" uniqueName="4" name="Balance" queryTableFieldId="4"/>
    <tableColumn id="5" xr3:uid="{4DE77DEB-3E21-425D-987B-24CEEA8B8FF5}" uniqueName="5" name="Days_Past_Due" queryTableFieldId="5"/>
    <tableColumn id="6" xr3:uid="{223A1425-7618-4140-8470-15CBEAE1DA45}" uniqueName="6" name="Risk_Grade" queryTableFieldId="6" dataDxfId="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5ED7E04-563D-4928-A622-88B1397968A6}" name="Loan_Disbursement_Report" displayName="Loan_Disbursement_Report" ref="A1:F4" tableType="queryTable" totalsRowShown="0">
  <autoFilter ref="A1:F4" xr:uid="{C5ED7E04-563D-4928-A622-88B1397968A6}"/>
  <tableColumns count="6">
    <tableColumn id="1" xr3:uid="{C144AC37-A2A8-4520-A035-1C594C1612C1}" uniqueName="1" name="Loan_No" queryTableFieldId="1" dataDxfId="24"/>
    <tableColumn id="2" xr3:uid="{5C9B2053-3945-401B-AA88-2276E978932F}" uniqueName="2" name="Customer_Name" queryTableFieldId="2" dataDxfId="23"/>
    <tableColumn id="3" xr3:uid="{E4F62CA4-5242-432D-B339-7B1EEEC34CCA}" uniqueName="3" name="Product" queryTableFieldId="3" dataDxfId="22"/>
    <tableColumn id="4" xr3:uid="{2893F581-3D4D-4122-BA8B-108F69A628F3}" uniqueName="4" name="Approved_Amount" queryTableFieldId="4"/>
    <tableColumn id="5" xr3:uid="{5F70DD35-283C-45F9-A406-F6B520A48C6F}" uniqueName="5" name="Disbursed_Amount" queryTableFieldId="5"/>
    <tableColumn id="6" xr3:uid="{602CDC72-157D-4DD5-815C-2308D5AC5101}" uniqueName="6" name="Officer" queryTableFieldId="6" dataDxfId="2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A77A41B-7B26-41C0-A7C1-983D7A2B1AFA}" name="Loan_Repayment_Due_Report" displayName="Loan_Repayment_Due_Report" ref="A1:F5" tableType="queryTable" totalsRowShown="0">
  <autoFilter ref="A1:F5" xr:uid="{7A77A41B-7B26-41C0-A7C1-983D7A2B1AFA}"/>
  <tableColumns count="6">
    <tableColumn id="1" xr3:uid="{1626CF92-8A61-41A0-BDC6-836ED0051622}" uniqueName="1" name="Loan_No" queryTableFieldId="1" dataDxfId="20"/>
    <tableColumn id="2" xr3:uid="{0A728B80-1596-49C9-B02D-079C2DA8D163}" uniqueName="2" name="Customer_Name" queryTableFieldId="2" dataDxfId="19"/>
    <tableColumn id="3" xr3:uid="{710D4774-FDA4-498F-AD03-95FFA5BA8A18}" uniqueName="3" name="Due_Date" queryTableFieldId="3" dataDxfId="2"/>
    <tableColumn id="4" xr3:uid="{EC83C5B1-AC0A-4C39-903C-5CD33986A9E6}" uniqueName="4" name="Installment" queryTableFieldId="4"/>
    <tableColumn id="5" xr3:uid="{4954E7CA-20C0-4E9F-B91B-BC13CE92E992}" uniqueName="5" name="Days_Due" queryTableFieldId="5"/>
    <tableColumn id="6" xr3:uid="{8450D614-A25A-47F7-81B5-B700D72576A7}" uniqueName="6" name="Status" queryTableFieldId="6" dataDxfId="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820941C-1F1D-4EB5-822E-AF4E0D1E865B}" name="Mortgage_Portfolio_Report" displayName="Mortgage_Portfolio_Report" ref="A1:F4" tableType="queryTable" totalsRowShown="0">
  <autoFilter ref="A1:F4" xr:uid="{0820941C-1F1D-4EB5-822E-AF4E0D1E865B}"/>
  <tableColumns count="6">
    <tableColumn id="1" xr3:uid="{C4579A7A-FCE7-4738-BF86-39389097F2F7}" uniqueName="1" name="Mortgage_No" queryTableFieldId="1" dataDxfId="17"/>
    <tableColumn id="2" xr3:uid="{9693A255-8C75-468E-A2E4-494FAD713F28}" uniqueName="2" name="Borrower" queryTableFieldId="2" dataDxfId="16"/>
    <tableColumn id="3" xr3:uid="{F2F903C3-B9A0-49EB-9862-8662080AF00D}" uniqueName="3" name="Property_Value" queryTableFieldId="3"/>
    <tableColumn id="4" xr3:uid="{DD4592B3-A9BC-4C66-BB3C-9ED61DF88556}" uniqueName="4" name="Loan_Balance" queryTableFieldId="4"/>
    <tableColumn id="5" xr3:uid="{D2A907F8-D1BA-4AC8-BC0A-40A086778F3E}" uniqueName="5" name="LTV" queryTableFieldId="5" dataDxfId="1"/>
    <tableColumn id="6" xr3:uid="{FAABF399-AC64-408D-B302-143DCBC3448B}" uniqueName="6" name="Status" queryTableFieldId="6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8294B-2BD9-40EF-99B7-2F29BD569D72}">
  <dimension ref="A1:F8"/>
  <sheetViews>
    <sheetView tabSelected="1" workbookViewId="0">
      <selection activeCell="F21" sqref="F21"/>
    </sheetView>
  </sheetViews>
  <sheetFormatPr defaultRowHeight="15" x14ac:dyDescent="0.25"/>
  <cols>
    <col min="1" max="1" width="35.28515625" bestFit="1" customWidth="1"/>
    <col min="2" max="2" width="12.28515625" bestFit="1" customWidth="1"/>
    <col min="3" max="3" width="16.5703125" bestFit="1" customWidth="1"/>
    <col min="4" max="4" width="16.28515625" bestFit="1" customWidth="1"/>
    <col min="5" max="5" width="15.5703125" bestFit="1" customWidth="1"/>
    <col min="6" max="6" width="17.5703125" bestFit="1" customWidth="1"/>
  </cols>
  <sheetData>
    <row r="1" spans="1:6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</row>
    <row r="2" spans="1:6" x14ac:dyDescent="0.25">
      <c r="A2" t="s">
        <v>19</v>
      </c>
      <c r="B2" t="s">
        <v>20</v>
      </c>
      <c r="C2" s="1">
        <v>46310.44705826389</v>
      </c>
      <c r="D2" s="1">
        <v>46310.44705826389</v>
      </c>
      <c r="E2" s="1">
        <v>46310.446673113423</v>
      </c>
      <c r="F2" t="s">
        <v>116</v>
      </c>
    </row>
    <row r="3" spans="1:6" x14ac:dyDescent="0.25">
      <c r="A3" t="s">
        <v>21</v>
      </c>
      <c r="B3" t="s">
        <v>20</v>
      </c>
      <c r="C3" s="1">
        <v>46310.449906979164</v>
      </c>
      <c r="D3" s="1">
        <v>46310.449906979164</v>
      </c>
      <c r="E3" s="1">
        <v>46310.446673182872</v>
      </c>
      <c r="F3" t="s">
        <v>116</v>
      </c>
    </row>
    <row r="4" spans="1:6" x14ac:dyDescent="0.25">
      <c r="A4" t="s">
        <v>22</v>
      </c>
      <c r="B4" t="s">
        <v>20</v>
      </c>
      <c r="C4" s="1">
        <v>46310.446673182872</v>
      </c>
      <c r="D4" s="1">
        <v>46309.84643769676</v>
      </c>
      <c r="E4" s="1">
        <v>46310.446673182872</v>
      </c>
      <c r="F4" t="s">
        <v>116</v>
      </c>
    </row>
    <row r="5" spans="1:6" x14ac:dyDescent="0.25">
      <c r="A5" t="s">
        <v>23</v>
      </c>
      <c r="B5" t="s">
        <v>20</v>
      </c>
      <c r="C5" s="1">
        <v>46310.446673182872</v>
      </c>
      <c r="D5" s="1">
        <v>46309.846543287036</v>
      </c>
      <c r="E5" s="1">
        <v>46310.446673182872</v>
      </c>
      <c r="F5" t="s">
        <v>116</v>
      </c>
    </row>
    <row r="6" spans="1:6" x14ac:dyDescent="0.25">
      <c r="A6" t="s">
        <v>24</v>
      </c>
      <c r="B6" t="s">
        <v>20</v>
      </c>
      <c r="C6" s="1">
        <v>46310.446673182872</v>
      </c>
      <c r="D6" s="1">
        <v>46309.846661192132</v>
      </c>
      <c r="E6" s="1">
        <v>46310.446673182872</v>
      </c>
      <c r="F6" t="s">
        <v>116</v>
      </c>
    </row>
    <row r="7" spans="1:6" x14ac:dyDescent="0.25">
      <c r="A7" t="s">
        <v>25</v>
      </c>
      <c r="B7" t="s">
        <v>20</v>
      </c>
      <c r="C7" s="1">
        <v>46310.446673182872</v>
      </c>
      <c r="D7" s="1">
        <v>46309.84674523148</v>
      </c>
      <c r="E7" s="1">
        <v>46310.446673182872</v>
      </c>
      <c r="F7" t="s">
        <v>116</v>
      </c>
    </row>
    <row r="8" spans="1:6" x14ac:dyDescent="0.25">
      <c r="A8" t="s">
        <v>26</v>
      </c>
      <c r="B8" t="s">
        <v>20</v>
      </c>
      <c r="C8" s="1">
        <v>46310.446673182872</v>
      </c>
      <c r="D8" s="1">
        <v>46309.846809479168</v>
      </c>
      <c r="E8" s="1">
        <v>46310.446673182872</v>
      </c>
      <c r="F8" t="s">
        <v>116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C8D68-31D7-4F0C-A29A-8511220D4D95}">
  <dimension ref="A3:I28"/>
  <sheetViews>
    <sheetView workbookViewId="0">
      <selection activeCell="C31" sqref="C31"/>
    </sheetView>
  </sheetViews>
  <sheetFormatPr defaultRowHeight="15" x14ac:dyDescent="0.25"/>
  <cols>
    <col min="1" max="1" width="13.85546875" bestFit="1" customWidth="1"/>
    <col min="2" max="2" width="16.5703125" bestFit="1" customWidth="1"/>
    <col min="3" max="3" width="19.85546875" bestFit="1" customWidth="1"/>
    <col min="4" max="4" width="19.5703125" bestFit="1" customWidth="1"/>
    <col min="6" max="6" width="13.85546875" bestFit="1" customWidth="1"/>
    <col min="7" max="7" width="13" bestFit="1" customWidth="1"/>
    <col min="8" max="8" width="17.140625" bestFit="1" customWidth="1"/>
    <col min="9" max="9" width="18.140625" bestFit="1" customWidth="1"/>
  </cols>
  <sheetData>
    <row r="3" spans="1:9" x14ac:dyDescent="0.25">
      <c r="B3" s="5" t="s">
        <v>19</v>
      </c>
      <c r="G3" s="5" t="s">
        <v>24</v>
      </c>
    </row>
    <row r="4" spans="1:9" x14ac:dyDescent="0.25">
      <c r="B4" t="s">
        <v>97</v>
      </c>
      <c r="C4" t="s">
        <v>98</v>
      </c>
      <c r="D4" t="s">
        <v>99</v>
      </c>
      <c r="G4" t="s">
        <v>109</v>
      </c>
      <c r="H4" t="s">
        <v>110</v>
      </c>
      <c r="I4" t="s">
        <v>111</v>
      </c>
    </row>
    <row r="5" spans="1:9" x14ac:dyDescent="0.25">
      <c r="A5" t="s">
        <v>101</v>
      </c>
      <c r="B5">
        <v>23960.35</v>
      </c>
      <c r="C5">
        <v>325480.25</v>
      </c>
      <c r="D5" s="2">
        <v>46208</v>
      </c>
      <c r="F5" t="s">
        <v>101</v>
      </c>
      <c r="G5">
        <v>3</v>
      </c>
      <c r="H5">
        <v>505000</v>
      </c>
      <c r="I5" s="2">
        <v>46208</v>
      </c>
    </row>
    <row r="6" spans="1:9" x14ac:dyDescent="0.25">
      <c r="A6" t="s">
        <v>100</v>
      </c>
      <c r="B6">
        <f>SUMIF(Customer_Account_Summary_Report[Balance], "&gt;=0")</f>
        <v>23960.35</v>
      </c>
      <c r="C6">
        <f>-1 * SUMIF(Customer_Account_Summary_Report[Balance],"&lt;0")</f>
        <v>325470.25</v>
      </c>
      <c r="D6" s="2"/>
      <c r="F6" t="s">
        <v>100</v>
      </c>
      <c r="G6">
        <f>COUNTA(Loan_Disbursement_Report[Loan_No])</f>
        <v>3</v>
      </c>
      <c r="H6">
        <f>SUM(Loan_Disbursement_Report[Disbursed_Amount])</f>
        <v>505000</v>
      </c>
      <c r="I6" s="2"/>
    </row>
    <row r="7" spans="1:9" x14ac:dyDescent="0.25">
      <c r="B7" t="b" cm="1">
        <f t="array" ref="B7">Rec__Customer_Account_Summary_Report[[Total Deposit Balance ]]=Rec__Customer_Account_Summary_Report[[#Totals],[Total Deposit Balance ]]</f>
        <v>1</v>
      </c>
      <c r="C7" t="b" cm="1">
        <f t="array" ref="C7">Rec__Customer_Account_Summary_Report[[Total Loan Balance    ]]=Rec__Customer_Account_Summary_Report[[#Totals],[Total Loan Balance    ]]</f>
        <v>0</v>
      </c>
      <c r="G7" t="b" cm="1">
        <f t="array" ref="G7">Rec__Loan_Disbursement_Report[[Loans Disbursed ]]=Rec__Loan_Disbursement_Report[[#Totals],[Loans Disbursed ]]</f>
        <v>1</v>
      </c>
      <c r="H7" t="b" cm="1">
        <f t="array" ref="H7">Rec__Loan_Disbursement_Report[[Loans Disbursed ]]=Rec__Loan_Disbursement_Report[[#Totals],[Loans Disbursed ]]</f>
        <v>1</v>
      </c>
    </row>
    <row r="10" spans="1:9" x14ac:dyDescent="0.25">
      <c r="B10" s="5" t="s">
        <v>21</v>
      </c>
      <c r="G10" s="5" t="s">
        <v>25</v>
      </c>
    </row>
    <row r="11" spans="1:9" x14ac:dyDescent="0.25">
      <c r="B11" t="s">
        <v>102</v>
      </c>
      <c r="C11" t="s">
        <v>103</v>
      </c>
      <c r="D11" t="s">
        <v>104</v>
      </c>
      <c r="G11" t="s">
        <v>112</v>
      </c>
      <c r="H11" t="s">
        <v>113</v>
      </c>
      <c r="I11" t="s">
        <v>111</v>
      </c>
    </row>
    <row r="12" spans="1:9" x14ac:dyDescent="0.25">
      <c r="A12" t="s">
        <v>101</v>
      </c>
      <c r="B12">
        <v>5</v>
      </c>
      <c r="C12">
        <v>1547181.5</v>
      </c>
      <c r="D12" s="2">
        <v>46208</v>
      </c>
      <c r="F12" t="s">
        <v>101</v>
      </c>
      <c r="G12">
        <v>1</v>
      </c>
      <c r="H12">
        <v>2</v>
      </c>
      <c r="I12" s="2">
        <v>46208</v>
      </c>
    </row>
    <row r="13" spans="1:9" x14ac:dyDescent="0.25">
      <c r="A13" t="s">
        <v>100</v>
      </c>
      <c r="B13">
        <f>COUNTA(Customer_Loan_Portfolio_Report[Loan_No])</f>
        <v>5</v>
      </c>
      <c r="C13">
        <f>SUM(Customer_Loan_Portfolio_Report[Balance])</f>
        <v>1247181.5</v>
      </c>
      <c r="F13" t="s">
        <v>100</v>
      </c>
      <c r="G13">
        <f>COUNTIF(Loan_Repayment_Due_Report[Status], "Due Today")</f>
        <v>1</v>
      </c>
      <c r="H13">
        <f>COUNTIF(Loan_Repayment_Due_Report[Status],"Overdue")</f>
        <v>2</v>
      </c>
      <c r="I13" s="2"/>
    </row>
    <row r="14" spans="1:9" x14ac:dyDescent="0.25">
      <c r="B14" t="b" cm="1">
        <f t="array" ref="B14">Rec__Customer_Loan_Portfolio_Report[[Total Loans       ]]=Rec__Customer_Loan_Portfolio_Report[[#Totals],[Total Loans       ]]</f>
        <v>1</v>
      </c>
      <c r="C14" t="b" cm="1">
        <f t="array" ref="C14">Rec__Customer_Loan_Portfolio_Report[[Outstanding Total ]]=Rec__Customer_Loan_Portfolio_Report[[#Totals],[Outstanding Total ]]</f>
        <v>0</v>
      </c>
      <c r="G14" t="b">
        <f>G13=G12</f>
        <v>1</v>
      </c>
      <c r="H14" t="b">
        <f>H13=H12</f>
        <v>1</v>
      </c>
    </row>
    <row r="17" spans="1:9" x14ac:dyDescent="0.25">
      <c r="B17" s="5" t="s">
        <v>22</v>
      </c>
      <c r="G17" s="5" t="s">
        <v>26</v>
      </c>
    </row>
    <row r="18" spans="1:9" x14ac:dyDescent="0.25">
      <c r="B18" t="s">
        <v>105</v>
      </c>
      <c r="C18" t="s">
        <v>106</v>
      </c>
      <c r="D18" t="s">
        <v>99</v>
      </c>
      <c r="G18" t="s">
        <v>114</v>
      </c>
      <c r="H18" t="s">
        <v>115</v>
      </c>
      <c r="I18" t="s">
        <v>99</v>
      </c>
    </row>
    <row r="19" spans="1:9" x14ac:dyDescent="0.25">
      <c r="A19" t="s">
        <v>101</v>
      </c>
      <c r="B19">
        <v>4</v>
      </c>
      <c r="C19">
        <v>7650.5</v>
      </c>
      <c r="D19" s="2">
        <v>46208</v>
      </c>
      <c r="F19" t="s">
        <v>101</v>
      </c>
      <c r="G19">
        <v>3</v>
      </c>
      <c r="H19">
        <v>1245831.5</v>
      </c>
      <c r="I19" s="2">
        <v>46208</v>
      </c>
    </row>
    <row r="20" spans="1:9" x14ac:dyDescent="0.25">
      <c r="A20" t="s">
        <v>100</v>
      </c>
      <c r="B20">
        <f>COUNTA(Daily_Loan_Transaction_Report[Transaction_ID])</f>
        <v>4</v>
      </c>
      <c r="C20">
        <f>SUM(Daily_Loan_Transaction_Report[Amount])</f>
        <v>7650.5</v>
      </c>
      <c r="D20" s="2"/>
      <c r="F20" t="s">
        <v>100</v>
      </c>
      <c r="G20">
        <f>COUNTA(Mortgage_Portfolio_Report[Mortgage_No])</f>
        <v>3</v>
      </c>
      <c r="H20">
        <f>SUM(Mortgage_Portfolio_Report[Loan_Balance])</f>
        <v>1245831.5</v>
      </c>
      <c r="I20" s="2"/>
    </row>
    <row r="21" spans="1:9" x14ac:dyDescent="0.25">
      <c r="B21" t="b" cm="1">
        <f t="array" ref="B21">Rec__Daily_Loan_Transaction_Report[[Transactions ]]=Rec__Daily_Loan_Transaction_Report[[#Totals],[Transactions ]]</f>
        <v>1</v>
      </c>
      <c r="C21" t="b" cm="1">
        <f t="array" ref="C21">Rec__Daily_Loan_Transaction_Report[[Total Amount ]]=Rec__Daily_Loan_Transaction_Report[[#Totals],[Total Amount ]]</f>
        <v>1</v>
      </c>
      <c r="G21" t="b" cm="1">
        <f t="array" ref="G21">Rec__Mortgage_Portfolio_Report[[Mortgages ]]=Rec__Mortgage_Portfolio_Report[[#Totals],[Mortgages ]]</f>
        <v>1</v>
      </c>
      <c r="H21" t="b" cm="1">
        <f t="array" ref="H21">Rec__Mortgage_Portfolio_Report[[Mortgages ]]=Rec__Mortgage_Portfolio_Report[[#Totals],[Mortgages ]]</f>
        <v>1</v>
      </c>
    </row>
    <row r="24" spans="1:9" x14ac:dyDescent="0.25">
      <c r="B24" s="5" t="s">
        <v>23</v>
      </c>
    </row>
    <row r="25" spans="1:9" x14ac:dyDescent="0.25">
      <c r="B25" t="s">
        <v>107</v>
      </c>
      <c r="C25" t="s">
        <v>108</v>
      </c>
      <c r="D25" t="s">
        <v>99</v>
      </c>
    </row>
    <row r="26" spans="1:9" x14ac:dyDescent="0.25">
      <c r="A26" t="s">
        <v>101</v>
      </c>
      <c r="B26">
        <v>3</v>
      </c>
      <c r="C26">
        <v>433000.75</v>
      </c>
      <c r="D26" s="2">
        <v>46208</v>
      </c>
    </row>
    <row r="27" spans="1:9" x14ac:dyDescent="0.25">
      <c r="A27" t="s">
        <v>100</v>
      </c>
      <c r="B27">
        <f>COUNTA(Delinquent_Loan_Report[Loan_No])</f>
        <v>3</v>
      </c>
      <c r="C27">
        <f>SUM(Delinquent_Loan_Report[Balance])</f>
        <v>434000.75</v>
      </c>
      <c r="D27" s="2"/>
    </row>
    <row r="28" spans="1:9" x14ac:dyDescent="0.25">
      <c r="B28" t="b" cm="1">
        <f t="array" ref="B28">Rec__Delinquent_Loan_Report[[Total Delinquent Loans ]]=Rec__Delinquent_Loan_Report[[#Totals],[Total Delinquent Loans ]]</f>
        <v>1</v>
      </c>
      <c r="C28" t="b" cm="1">
        <f t="array" ref="C28">Rec__Delinquent_Loan_Report[[Outstanding Balance    ]]=Rec__Delinquent_Loan_Report[[#Totals],[Outstanding Balance    ]]</f>
        <v>0</v>
      </c>
    </row>
  </sheetData>
  <conditionalFormatting sqref="B7:C7 G7:H7 B14:C14 G14:H14 B21:C21 G21:H21 B28:C28">
    <cfRule type="expression" dxfId="14" priority="2">
      <formula>B7=FALSE</formula>
    </cfRule>
  </conditionalFormatting>
  <conditionalFormatting sqref="B28:C28">
    <cfRule type="expression" dxfId="13" priority="1">
      <formula>$B$7=FALSE</formula>
    </cfRule>
  </conditionalFormatting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7DCE7-0EE8-4990-999A-A9C6C6BFA55E}">
  <dimension ref="A1:E4"/>
  <sheetViews>
    <sheetView workbookViewId="0">
      <selection activeCell="G10" sqref="G10"/>
    </sheetView>
  </sheetViews>
  <sheetFormatPr defaultRowHeight="15" x14ac:dyDescent="0.25"/>
  <cols>
    <col min="1" max="1" width="14" bestFit="1" customWidth="1"/>
    <col min="2" max="2" width="15.85546875" bestFit="1" customWidth="1"/>
    <col min="3" max="3" width="11.5703125" bestFit="1" customWidth="1"/>
    <col min="4" max="4" width="10.7109375" bestFit="1" customWidth="1"/>
    <col min="5" max="5" width="9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15420.25</v>
      </c>
      <c r="E2" t="s">
        <v>8</v>
      </c>
    </row>
    <row r="3" spans="1:5" x14ac:dyDescent="0.25">
      <c r="A3" t="s">
        <v>9</v>
      </c>
      <c r="B3" t="s">
        <v>10</v>
      </c>
      <c r="C3" t="s">
        <v>7</v>
      </c>
      <c r="D3">
        <v>8540.1</v>
      </c>
      <c r="E3" t="s">
        <v>8</v>
      </c>
    </row>
    <row r="4" spans="1:5" x14ac:dyDescent="0.25">
      <c r="A4" t="s">
        <v>11</v>
      </c>
      <c r="B4" t="s">
        <v>12</v>
      </c>
      <c r="C4" t="s">
        <v>7</v>
      </c>
      <c r="D4">
        <v>-325470.25</v>
      </c>
      <c r="E4" t="s">
        <v>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8CEB8-4181-463B-BF10-DB9B2A7BF7A8}">
  <dimension ref="A1:F6"/>
  <sheetViews>
    <sheetView workbookViewId="0">
      <selection activeCell="G32" sqref="G32"/>
    </sheetView>
  </sheetViews>
  <sheetFormatPr defaultRowHeight="15" x14ac:dyDescent="0.25"/>
  <cols>
    <col min="1" max="1" width="11" bestFit="1" customWidth="1"/>
    <col min="2" max="2" width="18.5703125" bestFit="1" customWidth="1"/>
    <col min="3" max="3" width="13.7109375" bestFit="1" customWidth="1"/>
    <col min="4" max="4" width="10.28515625" bestFit="1" customWidth="1"/>
    <col min="5" max="5" width="10.42578125" style="4" bestFit="1" customWidth="1"/>
    <col min="6" max="6" width="10.5703125" bestFit="1" customWidth="1"/>
  </cols>
  <sheetData>
    <row r="1" spans="1:6" x14ac:dyDescent="0.25">
      <c r="A1" t="s">
        <v>27</v>
      </c>
      <c r="B1" t="s">
        <v>28</v>
      </c>
      <c r="C1" t="s">
        <v>58</v>
      </c>
      <c r="D1" t="s">
        <v>3</v>
      </c>
      <c r="E1" s="4" t="s">
        <v>68</v>
      </c>
      <c r="F1" t="s">
        <v>4</v>
      </c>
    </row>
    <row r="2" spans="1:6" x14ac:dyDescent="0.25">
      <c r="A2" t="s">
        <v>47</v>
      </c>
      <c r="B2" t="s">
        <v>48</v>
      </c>
      <c r="C2" t="s">
        <v>35</v>
      </c>
      <c r="D2">
        <v>325480.25</v>
      </c>
      <c r="E2" s="4">
        <v>3.2500000000000001E-2</v>
      </c>
      <c r="F2" t="s">
        <v>8</v>
      </c>
    </row>
    <row r="3" spans="1:6" x14ac:dyDescent="0.25">
      <c r="A3" t="s">
        <v>69</v>
      </c>
      <c r="B3" t="s">
        <v>70</v>
      </c>
      <c r="C3" t="s">
        <v>39</v>
      </c>
      <c r="D3">
        <v>18950</v>
      </c>
      <c r="E3" s="4">
        <v>4.1000000000000002E-2</v>
      </c>
      <c r="F3" t="s">
        <v>8</v>
      </c>
    </row>
    <row r="4" spans="1:6" x14ac:dyDescent="0.25">
      <c r="A4" t="s">
        <v>71</v>
      </c>
      <c r="B4" t="s">
        <v>72</v>
      </c>
      <c r="C4" t="s">
        <v>43</v>
      </c>
      <c r="D4">
        <v>12500.75</v>
      </c>
      <c r="E4" s="4">
        <v>8.7499999999999994E-2</v>
      </c>
      <c r="F4" t="s">
        <v>8</v>
      </c>
    </row>
    <row r="5" spans="1:6" x14ac:dyDescent="0.25">
      <c r="A5" t="s">
        <v>50</v>
      </c>
      <c r="B5" t="s">
        <v>51</v>
      </c>
      <c r="C5" t="s">
        <v>35</v>
      </c>
      <c r="D5">
        <v>110250.5</v>
      </c>
      <c r="E5" s="4">
        <v>3.1E-2</v>
      </c>
      <c r="F5" t="s">
        <v>73</v>
      </c>
    </row>
    <row r="6" spans="1:6" x14ac:dyDescent="0.25">
      <c r="A6" t="s">
        <v>74</v>
      </c>
      <c r="B6" t="s">
        <v>75</v>
      </c>
      <c r="C6" t="s">
        <v>76</v>
      </c>
      <c r="D6">
        <v>780000</v>
      </c>
      <c r="E6" s="4">
        <v>5.1999999999999998E-2</v>
      </c>
      <c r="F6" t="s">
        <v>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D40BA-B5FE-46FC-A8E6-E03391DD4EF0}">
  <dimension ref="A1:E5"/>
  <sheetViews>
    <sheetView workbookViewId="0">
      <selection activeCell="K28" sqref="K28"/>
    </sheetView>
  </sheetViews>
  <sheetFormatPr defaultRowHeight="15" x14ac:dyDescent="0.25"/>
  <cols>
    <col min="1" max="1" width="16.7109375" bestFit="1" customWidth="1"/>
    <col min="2" max="2" width="11" bestFit="1" customWidth="1"/>
    <col min="3" max="4" width="18.5703125" bestFit="1" customWidth="1"/>
    <col min="5" max="5" width="10.28515625" bestFit="1" customWidth="1"/>
  </cols>
  <sheetData>
    <row r="1" spans="1:5" x14ac:dyDescent="0.25">
      <c r="A1" t="s">
        <v>77</v>
      </c>
      <c r="B1" t="s">
        <v>27</v>
      </c>
      <c r="C1" t="s">
        <v>28</v>
      </c>
      <c r="D1" t="s">
        <v>78</v>
      </c>
      <c r="E1" t="s">
        <v>79</v>
      </c>
    </row>
    <row r="2" spans="1:5" x14ac:dyDescent="0.25">
      <c r="A2" t="s">
        <v>80</v>
      </c>
      <c r="B2" t="s">
        <v>47</v>
      </c>
      <c r="C2" t="s">
        <v>48</v>
      </c>
      <c r="D2" t="s">
        <v>81</v>
      </c>
      <c r="E2">
        <v>1850</v>
      </c>
    </row>
    <row r="3" spans="1:5" x14ac:dyDescent="0.25">
      <c r="A3" t="s">
        <v>82</v>
      </c>
      <c r="B3" t="s">
        <v>71</v>
      </c>
      <c r="C3" t="s">
        <v>72</v>
      </c>
      <c r="D3" t="s">
        <v>83</v>
      </c>
      <c r="E3">
        <v>3000</v>
      </c>
    </row>
    <row r="4" spans="1:5" x14ac:dyDescent="0.25">
      <c r="A4" t="s">
        <v>84</v>
      </c>
      <c r="B4" t="s">
        <v>74</v>
      </c>
      <c r="C4" t="s">
        <v>75</v>
      </c>
      <c r="D4" t="s">
        <v>85</v>
      </c>
      <c r="E4">
        <v>2750.5</v>
      </c>
    </row>
    <row r="5" spans="1:5" x14ac:dyDescent="0.25">
      <c r="A5" t="s">
        <v>86</v>
      </c>
      <c r="B5" t="s">
        <v>56</v>
      </c>
      <c r="C5" t="s">
        <v>57</v>
      </c>
      <c r="D5" t="s">
        <v>87</v>
      </c>
      <c r="E5">
        <v>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4CED7-886E-416D-B50A-4E16354F401D}">
  <dimension ref="A1:F4"/>
  <sheetViews>
    <sheetView workbookViewId="0">
      <selection activeCell="L29" sqref="L29"/>
    </sheetView>
  </sheetViews>
  <sheetFormatPr defaultRowHeight="15" x14ac:dyDescent="0.25"/>
  <cols>
    <col min="1" max="1" width="11" bestFit="1" customWidth="1"/>
    <col min="2" max="2" width="18.5703125" bestFit="1" customWidth="1"/>
    <col min="3" max="3" width="13.7109375" bestFit="1" customWidth="1"/>
    <col min="4" max="4" width="10.28515625" bestFit="1" customWidth="1"/>
    <col min="5" max="5" width="17.140625" bestFit="1" customWidth="1"/>
    <col min="6" max="6" width="13.42578125" bestFit="1" customWidth="1"/>
  </cols>
  <sheetData>
    <row r="1" spans="1:6" x14ac:dyDescent="0.25">
      <c r="A1" t="s">
        <v>27</v>
      </c>
      <c r="B1" t="s">
        <v>28</v>
      </c>
      <c r="C1" t="s">
        <v>58</v>
      </c>
      <c r="D1" t="s">
        <v>3</v>
      </c>
      <c r="E1" t="s">
        <v>59</v>
      </c>
      <c r="F1" t="s">
        <v>60</v>
      </c>
    </row>
    <row r="2" spans="1:6" x14ac:dyDescent="0.25">
      <c r="A2" t="s">
        <v>50</v>
      </c>
      <c r="B2" t="s">
        <v>51</v>
      </c>
      <c r="C2" t="s">
        <v>35</v>
      </c>
      <c r="D2">
        <v>410250.5</v>
      </c>
      <c r="E2">
        <v>45</v>
      </c>
      <c r="F2" t="s">
        <v>61</v>
      </c>
    </row>
    <row r="3" spans="1:6" x14ac:dyDescent="0.25">
      <c r="A3" t="s">
        <v>62</v>
      </c>
      <c r="B3" t="s">
        <v>63</v>
      </c>
      <c r="C3" t="s">
        <v>43</v>
      </c>
      <c r="D3">
        <v>15450</v>
      </c>
      <c r="E3">
        <v>91</v>
      </c>
      <c r="F3" t="s">
        <v>64</v>
      </c>
    </row>
    <row r="4" spans="1:6" x14ac:dyDescent="0.25">
      <c r="A4" t="s">
        <v>65</v>
      </c>
      <c r="B4" t="s">
        <v>66</v>
      </c>
      <c r="C4" t="s">
        <v>39</v>
      </c>
      <c r="D4">
        <v>8300.25</v>
      </c>
      <c r="E4">
        <v>32</v>
      </c>
      <c r="F4" t="s">
        <v>67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8FDDE-4011-4E41-9233-AF32976E2CE8}">
  <dimension ref="A1:F4"/>
  <sheetViews>
    <sheetView workbookViewId="0">
      <selection activeCell="M17" sqref="M17"/>
    </sheetView>
  </sheetViews>
  <sheetFormatPr defaultRowHeight="15" x14ac:dyDescent="0.25"/>
  <cols>
    <col min="1" max="1" width="11" bestFit="1" customWidth="1"/>
    <col min="2" max="2" width="18.5703125" bestFit="1" customWidth="1"/>
    <col min="3" max="3" width="13.7109375" bestFit="1" customWidth="1"/>
    <col min="4" max="4" width="20" bestFit="1" customWidth="1"/>
    <col min="5" max="5" width="20.7109375" bestFit="1" customWidth="1"/>
    <col min="6" max="6" width="10.140625" bestFit="1" customWidth="1"/>
  </cols>
  <sheetData>
    <row r="1" spans="1:6" x14ac:dyDescent="0.25">
      <c r="A1" t="s">
        <v>27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</row>
    <row r="2" spans="1:6" x14ac:dyDescent="0.25">
      <c r="A2" t="s">
        <v>33</v>
      </c>
      <c r="B2" t="s">
        <v>34</v>
      </c>
      <c r="C2" t="s">
        <v>35</v>
      </c>
      <c r="D2">
        <v>450000</v>
      </c>
      <c r="E2">
        <v>450000</v>
      </c>
      <c r="F2" t="s">
        <v>36</v>
      </c>
    </row>
    <row r="3" spans="1:6" x14ac:dyDescent="0.25">
      <c r="A3" t="s">
        <v>37</v>
      </c>
      <c r="B3" t="s">
        <v>38</v>
      </c>
      <c r="C3" t="s">
        <v>39</v>
      </c>
      <c r="D3">
        <v>35000</v>
      </c>
      <c r="E3">
        <v>35000</v>
      </c>
      <c r="F3" t="s">
        <v>40</v>
      </c>
    </row>
    <row r="4" spans="1:6" x14ac:dyDescent="0.25">
      <c r="A4" t="s">
        <v>41</v>
      </c>
      <c r="B4" t="s">
        <v>42</v>
      </c>
      <c r="C4" t="s">
        <v>43</v>
      </c>
      <c r="D4">
        <v>20000</v>
      </c>
      <c r="E4">
        <v>20000</v>
      </c>
      <c r="F4" t="s">
        <v>36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36D17-64BF-4385-8D73-35E7F82FE216}">
  <dimension ref="A1:F5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8.5703125" bestFit="1" customWidth="1"/>
    <col min="3" max="3" width="12.140625" bestFit="1" customWidth="1"/>
    <col min="4" max="4" width="13.5703125" bestFit="1" customWidth="1"/>
    <col min="5" max="5" width="12.28515625" bestFit="1" customWidth="1"/>
    <col min="6" max="6" width="10.140625" bestFit="1" customWidth="1"/>
  </cols>
  <sheetData>
    <row r="1" spans="1:6" x14ac:dyDescent="0.25">
      <c r="A1" t="s">
        <v>27</v>
      </c>
      <c r="B1" t="s">
        <v>28</v>
      </c>
      <c r="C1" t="s">
        <v>44</v>
      </c>
      <c r="D1" t="s">
        <v>45</v>
      </c>
      <c r="E1" t="s">
        <v>46</v>
      </c>
      <c r="F1" t="s">
        <v>4</v>
      </c>
    </row>
    <row r="2" spans="1:6" x14ac:dyDescent="0.25">
      <c r="A2" t="s">
        <v>47</v>
      </c>
      <c r="B2" t="s">
        <v>48</v>
      </c>
      <c r="C2" s="2">
        <v>46204</v>
      </c>
      <c r="D2">
        <v>1850</v>
      </c>
      <c r="E2">
        <v>0</v>
      </c>
      <c r="F2" t="s">
        <v>49</v>
      </c>
    </row>
    <row r="3" spans="1:6" x14ac:dyDescent="0.25">
      <c r="A3" t="s">
        <v>50</v>
      </c>
      <c r="B3" t="s">
        <v>51</v>
      </c>
      <c r="C3" s="2">
        <v>46204</v>
      </c>
      <c r="D3">
        <v>2450</v>
      </c>
      <c r="E3">
        <v>4</v>
      </c>
      <c r="F3" t="s">
        <v>52</v>
      </c>
    </row>
    <row r="4" spans="1:6" x14ac:dyDescent="0.25">
      <c r="A4" t="s">
        <v>53</v>
      </c>
      <c r="B4" t="s">
        <v>54</v>
      </c>
      <c r="C4" s="2">
        <v>46204</v>
      </c>
      <c r="D4">
        <v>1125.5</v>
      </c>
      <c r="E4">
        <v>0</v>
      </c>
      <c r="F4" t="s">
        <v>55</v>
      </c>
    </row>
    <row r="5" spans="1:6" x14ac:dyDescent="0.25">
      <c r="A5" t="s">
        <v>56</v>
      </c>
      <c r="B5" t="s">
        <v>57</v>
      </c>
      <c r="C5" s="2">
        <v>46174</v>
      </c>
      <c r="D5">
        <v>980</v>
      </c>
      <c r="E5">
        <v>7</v>
      </c>
      <c r="F5" t="s">
        <v>52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D3A48-4C55-42AB-9981-E2E0A6C2FDCB}">
  <dimension ref="A1:F4"/>
  <sheetViews>
    <sheetView workbookViewId="0">
      <selection activeCell="F3" sqref="F3"/>
    </sheetView>
  </sheetViews>
  <sheetFormatPr defaultRowHeight="15" x14ac:dyDescent="0.25"/>
  <cols>
    <col min="1" max="1" width="15" bestFit="1" customWidth="1"/>
    <col min="2" max="2" width="11.5703125" bestFit="1" customWidth="1"/>
    <col min="3" max="3" width="17" bestFit="1" customWidth="1"/>
    <col min="4" max="4" width="15.5703125" bestFit="1" customWidth="1"/>
    <col min="5" max="5" width="7.140625" style="3" bestFit="1" customWidth="1"/>
    <col min="6" max="6" width="9" bestFit="1" customWidth="1"/>
  </cols>
  <sheetData>
    <row r="1" spans="1:6" x14ac:dyDescent="0.25">
      <c r="A1" t="s">
        <v>88</v>
      </c>
      <c r="B1" t="s">
        <v>89</v>
      </c>
      <c r="C1" t="s">
        <v>90</v>
      </c>
      <c r="D1" t="s">
        <v>91</v>
      </c>
      <c r="E1" s="3" t="s">
        <v>92</v>
      </c>
      <c r="F1" t="s">
        <v>4</v>
      </c>
    </row>
    <row r="2" spans="1:6" x14ac:dyDescent="0.25">
      <c r="A2" t="s">
        <v>93</v>
      </c>
      <c r="B2" t="s">
        <v>48</v>
      </c>
      <c r="C2">
        <v>680000</v>
      </c>
      <c r="D2">
        <v>325480.25</v>
      </c>
      <c r="E2" s="3">
        <v>0.47899999999999998</v>
      </c>
      <c r="F2" t="s">
        <v>8</v>
      </c>
    </row>
    <row r="3" spans="1:6" x14ac:dyDescent="0.25">
      <c r="A3" t="s">
        <v>94</v>
      </c>
      <c r="B3" t="s">
        <v>51</v>
      </c>
      <c r="C3">
        <v>950000</v>
      </c>
      <c r="D3">
        <v>410250.5</v>
      </c>
      <c r="E3" s="3">
        <v>0.432</v>
      </c>
      <c r="F3" t="s">
        <v>8</v>
      </c>
    </row>
    <row r="4" spans="1:6" x14ac:dyDescent="0.25">
      <c r="A4" t="s">
        <v>95</v>
      </c>
      <c r="B4" t="s">
        <v>96</v>
      </c>
      <c r="C4">
        <v>720000</v>
      </c>
      <c r="D4">
        <v>510100.75</v>
      </c>
      <c r="E4" s="3">
        <v>0.70799999999999996</v>
      </c>
      <c r="F4" t="s">
        <v>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34FC15-54E4-4237-B141-132320516CD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Data_Folder</vt:lpstr>
      <vt:lpstr>Reconciliation</vt:lpstr>
      <vt:lpstr>Customer Account Summary Report</vt:lpstr>
      <vt:lpstr>Customer Loan Portfolio Report</vt:lpstr>
      <vt:lpstr>Daily Loan Transaction Report</vt:lpstr>
      <vt:lpstr>Delinquent Loan Report</vt:lpstr>
      <vt:lpstr>Loan Disbursement Report</vt:lpstr>
      <vt:lpstr>Loan Repayment Due Report</vt:lpstr>
      <vt:lpstr>Mortgage Portfolio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Jingfeng Zhu</dc:creator>
  <cp:lastModifiedBy>Jingfeng Zhu</cp:lastModifiedBy>
  <dcterms:created xsi:type="dcterms:W3CDTF">2026-07-05T11:26:53Z</dcterms:created>
  <dcterms:modified xsi:type="dcterms:W3CDTF">2026-10-15T09:53:05Z</dcterms:modified>
</cp:coreProperties>
</file>